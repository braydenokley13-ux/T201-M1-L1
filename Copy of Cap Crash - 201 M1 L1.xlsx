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faults" sheetId="2" r:id="rId6"/>
  </sheets>
  <definedNames/>
  <calcPr/>
</workbook>
</file>

<file path=xl/sharedStrings.xml><?xml version="1.0" encoding="utf-8"?>
<sst xmlns="http://schemas.openxmlformats.org/spreadsheetml/2006/main" count="75" uniqueCount="48">
  <si>
    <t>Player</t>
  </si>
  <si>
    <t>Salary($)</t>
  </si>
  <si>
    <t>Move</t>
  </si>
  <si>
    <t>Adjusted Cap Hit</t>
  </si>
  <si>
    <t>QPts</t>
  </si>
  <si>
    <t>BirdEligible?</t>
  </si>
  <si>
    <t>Warnings</t>
  </si>
  <si>
    <t>VETMIN</t>
  </si>
  <si>
    <t>MLEEligible?</t>
  </si>
  <si>
    <t xml:space="preserve">⭐ Wing A </t>
  </si>
  <si>
    <t>Keep</t>
  </si>
  <si>
    <t>⭐ Guard B</t>
  </si>
  <si>
    <t xml:space="preserve">⭐ Big C </t>
  </si>
  <si>
    <t>Starter D</t>
  </si>
  <si>
    <t xml:space="preserve">Starter E </t>
  </si>
  <si>
    <t xml:space="preserve">Role F </t>
  </si>
  <si>
    <t xml:space="preserve">Role G  </t>
  </si>
  <si>
    <t xml:space="preserve">Role H </t>
  </si>
  <si>
    <t xml:space="preserve">Role I </t>
  </si>
  <si>
    <t xml:space="preserve">Min J </t>
  </si>
  <si>
    <t xml:space="preserve">Min K </t>
  </si>
  <si>
    <t xml:space="preserve">Min L </t>
  </si>
  <si>
    <t>Quality Points</t>
  </si>
  <si>
    <t>Bird Allowance</t>
  </si>
  <si>
    <t>Rule Checks</t>
  </si>
  <si>
    <t>Reason if Fails</t>
  </si>
  <si>
    <t>Cap($)</t>
  </si>
  <si>
    <t>MLE Count</t>
  </si>
  <si>
    <t>Cap</t>
  </si>
  <si>
    <t>Total Payroll</t>
  </si>
  <si>
    <t>Bird/Keep Stars OK?</t>
  </si>
  <si>
    <t>Roster Size</t>
  </si>
  <si>
    <t>Players Count</t>
  </si>
  <si>
    <t>VetMin Count</t>
  </si>
  <si>
    <t>Stars Kept</t>
  </si>
  <si>
    <t>MLE</t>
  </si>
  <si>
    <t>Status</t>
  </si>
  <si>
    <t>VetMin Limits</t>
  </si>
  <si>
    <t>Why</t>
  </si>
  <si>
    <t>Quality Floor</t>
  </si>
  <si>
    <t>Claim Code</t>
  </si>
  <si>
    <t>BirdLimit</t>
  </si>
  <si>
    <t>FINISH</t>
  </si>
  <si>
    <t>Salary</t>
  </si>
  <si>
    <t>DefaultMove</t>
  </si>
  <si>
    <t>Score</t>
  </si>
  <si>
    <t>(blank)</t>
  </si>
  <si>
    <t>period3-2024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</si>
</sst>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cq3zoTMHL6bkmHxD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4.5E7</v>
      </c>
      <c r="C2" s="1" t="s">
        <v>10</v>
      </c>
      <c r="D2" s="3">
        <f t="shared" ref="D2:D13" si="1">IF($C2="Cut",0,
 IF($C2="Trade",0,
 IF($C2="Keep",$B2,
 IF($C2="Bird",  IF($F2,0,$B2),
 IF($C2="MLE",   IF($I2,0,$B2),
 IF($C2="VetMin",IF($H2,0,$B2),
 $B2))))))
</f>
        <v>45000000</v>
      </c>
      <c r="E2" s="1">
        <v>10.0</v>
      </c>
      <c r="F2" s="4" t="b">
        <f>IFERROR(VLOOKUP(A2, Defaults!$A$2:$F$13, 6, FALSE), FALSE)</f>
        <v>0</v>
      </c>
      <c r="G2" s="4" t="str">
        <f t="shared" ref="G2:G13" si="2">IF(AND($C2="VetMin",$B2&lt;&gt;2000000),"❌ VetMin allowed only on $2M players","")</f>
        <v/>
      </c>
      <c r="H2" s="4" t="b">
        <f t="shared" ref="H2:H13" si="3">($B2=2000000)</f>
        <v>0</v>
      </c>
      <c r="I2" s="4" t="b">
        <f t="array" ref="I2">XLOOKUP($A2,Defaults!$A:$A,Defaults!$G:$G,0)</f>
        <v>0</v>
      </c>
    </row>
    <row r="3">
      <c r="A3" s="1" t="s">
        <v>11</v>
      </c>
      <c r="B3" s="2">
        <v>3.8E7</v>
      </c>
      <c r="C3" s="1" t="s">
        <v>10</v>
      </c>
      <c r="D3" s="3">
        <f t="shared" si="1"/>
        <v>38000000</v>
      </c>
      <c r="E3" s="1">
        <v>10.0</v>
      </c>
      <c r="F3" s="4" t="b">
        <f>IFERROR(VLOOKUP(A3, Defaults!$A$2:$F$13, 6, FALSE), FALSE)</f>
        <v>0</v>
      </c>
      <c r="G3" s="4" t="str">
        <f t="shared" si="2"/>
        <v/>
      </c>
      <c r="H3" s="4" t="b">
        <f t="shared" si="3"/>
        <v>0</v>
      </c>
      <c r="I3" s="4" t="b">
        <f t="array" ref="I3">XLOOKUP($A3,Defaults!$A:$A,Defaults!$G:$G,0)</f>
        <v>0</v>
      </c>
    </row>
    <row r="4">
      <c r="A4" s="1" t="s">
        <v>12</v>
      </c>
      <c r="B4" s="2">
        <v>3.0E7</v>
      </c>
      <c r="C4" s="1" t="s">
        <v>10</v>
      </c>
      <c r="D4" s="3">
        <f t="shared" si="1"/>
        <v>30000000</v>
      </c>
      <c r="E4" s="1">
        <v>10.0</v>
      </c>
      <c r="F4" s="4" t="b">
        <f>IFERROR(VLOOKUP(A4, Defaults!$A$2:$F$13, 6, FALSE), FALSE)</f>
        <v>0</v>
      </c>
      <c r="G4" s="4" t="str">
        <f t="shared" si="2"/>
        <v/>
      </c>
      <c r="H4" s="4" t="b">
        <f t="shared" si="3"/>
        <v>0</v>
      </c>
      <c r="I4" s="4" t="b">
        <f t="array" ref="I4">XLOOKUP($A4,Defaults!$A:$A,Defaults!$G:$G,0)</f>
        <v>0</v>
      </c>
    </row>
    <row r="5">
      <c r="A5" s="1" t="s">
        <v>13</v>
      </c>
      <c r="B5" s="2">
        <v>1.8E7</v>
      </c>
      <c r="C5" s="1" t="s">
        <v>10</v>
      </c>
      <c r="D5" s="3">
        <f t="shared" si="1"/>
        <v>18000000</v>
      </c>
      <c r="E5" s="1">
        <v>7.0</v>
      </c>
      <c r="F5" s="4" t="b">
        <f>IFERROR(VLOOKUP(A5, Defaults!$A$2:$F$13, 6, FALSE), FALSE)</f>
        <v>0</v>
      </c>
      <c r="G5" s="4" t="str">
        <f t="shared" si="2"/>
        <v/>
      </c>
      <c r="H5" s="4" t="b">
        <f t="shared" si="3"/>
        <v>0</v>
      </c>
      <c r="I5" s="4" t="b">
        <f t="array" ref="I5">XLOOKUP($A5,Defaults!$A:$A,Defaults!$G:$G,0)</f>
        <v>0</v>
      </c>
    </row>
    <row r="6">
      <c r="A6" s="1" t="s">
        <v>14</v>
      </c>
      <c r="B6" s="2">
        <v>1.4E7</v>
      </c>
      <c r="C6" s="1" t="s">
        <v>10</v>
      </c>
      <c r="D6" s="3">
        <f t="shared" si="1"/>
        <v>14000000</v>
      </c>
      <c r="E6" s="1">
        <v>6.0</v>
      </c>
      <c r="F6" s="4" t="b">
        <f>IFERROR(VLOOKUP(A6, Defaults!$A$2:$F$13, 6, FALSE), FALSE)</f>
        <v>0</v>
      </c>
      <c r="G6" s="4" t="str">
        <f t="shared" si="2"/>
        <v/>
      </c>
      <c r="H6" s="4" t="b">
        <f t="shared" si="3"/>
        <v>0</v>
      </c>
      <c r="I6" s="4" t="b">
        <f t="array" ref="I6">XLOOKUP($A6,Defaults!$A:$A,Defaults!$G:$G,0)</f>
        <v>1</v>
      </c>
    </row>
    <row r="7">
      <c r="A7" s="1" t="s">
        <v>15</v>
      </c>
      <c r="B7" s="2">
        <v>1.0E7</v>
      </c>
      <c r="C7" s="1" t="s">
        <v>10</v>
      </c>
      <c r="D7" s="3">
        <f t="shared" si="1"/>
        <v>10000000</v>
      </c>
      <c r="E7" s="1">
        <v>5.0</v>
      </c>
      <c r="F7" s="4" t="b">
        <f>IFERROR(VLOOKUP(A7, Defaults!$A$2:$F$13, 6, FALSE), FALSE)</f>
        <v>1</v>
      </c>
      <c r="G7" s="4" t="str">
        <f t="shared" si="2"/>
        <v/>
      </c>
      <c r="H7" s="4" t="b">
        <f t="shared" si="3"/>
        <v>0</v>
      </c>
      <c r="I7" s="4" t="b">
        <f t="array" ref="I7">XLOOKUP($A7,Defaults!$A:$A,Defaults!$G:$G,0)</f>
        <v>1</v>
      </c>
    </row>
    <row r="8">
      <c r="A8" s="1" t="s">
        <v>16</v>
      </c>
      <c r="B8" s="2">
        <v>7000000.0</v>
      </c>
      <c r="C8" s="1" t="s">
        <v>10</v>
      </c>
      <c r="D8" s="3">
        <f t="shared" si="1"/>
        <v>7000000</v>
      </c>
      <c r="E8" s="1">
        <v>4.0</v>
      </c>
      <c r="F8" s="4" t="b">
        <f>IFERROR(VLOOKUP(A8, Defaults!$A$2:$F$13, 6, FALSE), FALSE)</f>
        <v>0</v>
      </c>
      <c r="G8" s="4" t="str">
        <f t="shared" si="2"/>
        <v/>
      </c>
      <c r="H8" s="4" t="b">
        <f t="shared" si="3"/>
        <v>0</v>
      </c>
      <c r="I8" s="4" t="b">
        <f t="array" ref="I8">XLOOKUP($A8,Defaults!$A:$A,Defaults!$G:$G,0)</f>
        <v>1</v>
      </c>
    </row>
    <row r="9">
      <c r="A9" s="1" t="s">
        <v>17</v>
      </c>
      <c r="B9" s="2">
        <v>5000000.0</v>
      </c>
      <c r="C9" s="1" t="s">
        <v>10</v>
      </c>
      <c r="D9" s="3">
        <f t="shared" si="1"/>
        <v>5000000</v>
      </c>
      <c r="E9" s="1">
        <v>3.0</v>
      </c>
      <c r="F9" s="4" t="b">
        <f>IFERROR(VLOOKUP(A9, Defaults!$A$2:$F$13, 6, FALSE), FALSE)</f>
        <v>1</v>
      </c>
      <c r="G9" s="4" t="str">
        <f t="shared" si="2"/>
        <v/>
      </c>
      <c r="H9" s="4" t="b">
        <f t="shared" si="3"/>
        <v>0</v>
      </c>
      <c r="I9" s="4" t="b">
        <f t="array" ref="I9">XLOOKUP($A9,Defaults!$A:$A,Defaults!$G:$G,0)</f>
        <v>1</v>
      </c>
    </row>
    <row r="10">
      <c r="A10" s="1" t="s">
        <v>18</v>
      </c>
      <c r="B10" s="2">
        <v>4000000.0</v>
      </c>
      <c r="C10" s="1" t="s">
        <v>10</v>
      </c>
      <c r="D10" s="3">
        <f t="shared" si="1"/>
        <v>4000000</v>
      </c>
      <c r="E10" s="1">
        <v>3.0</v>
      </c>
      <c r="F10" s="4" t="b">
        <f>IFERROR(VLOOKUP(A10, Defaults!$A$2:$F$13, 6, FALSE), FALSE)</f>
        <v>0</v>
      </c>
      <c r="G10" s="4" t="str">
        <f t="shared" si="2"/>
        <v/>
      </c>
      <c r="H10" s="4" t="b">
        <f t="shared" si="3"/>
        <v>0</v>
      </c>
      <c r="I10" s="4" t="b">
        <f t="array" ref="I10">XLOOKUP($A10,Defaults!$A:$A,Defaults!$G:$G,0)</f>
        <v>1</v>
      </c>
    </row>
    <row r="11">
      <c r="A11" s="1" t="s">
        <v>19</v>
      </c>
      <c r="B11" s="2">
        <v>2000000.0</v>
      </c>
      <c r="C11" s="1" t="s">
        <v>10</v>
      </c>
      <c r="D11" s="3">
        <f t="shared" si="1"/>
        <v>2000000</v>
      </c>
      <c r="E11" s="1">
        <v>2.0</v>
      </c>
      <c r="F11" s="4" t="b">
        <f>IFERROR(VLOOKUP(A11, Defaults!$A$2:$F$13, 6, FALSE), FALSE)</f>
        <v>1</v>
      </c>
      <c r="G11" s="4" t="str">
        <f t="shared" si="2"/>
        <v/>
      </c>
      <c r="H11" s="4" t="b">
        <f t="shared" si="3"/>
        <v>1</v>
      </c>
      <c r="I11" s="4" t="b">
        <f t="array" ref="I11">XLOOKUP($A11,Defaults!$A:$A,Defaults!$G:$G,0)</f>
        <v>1</v>
      </c>
    </row>
    <row r="12">
      <c r="A12" s="1" t="s">
        <v>20</v>
      </c>
      <c r="B12" s="2">
        <v>2000000.0</v>
      </c>
      <c r="C12" s="1" t="s">
        <v>10</v>
      </c>
      <c r="D12" s="3">
        <f t="shared" si="1"/>
        <v>2000000</v>
      </c>
      <c r="E12" s="1">
        <v>2.0</v>
      </c>
      <c r="F12" s="4" t="b">
        <f>IFERROR(VLOOKUP(A12, Defaults!$A$2:$F$13, 6, FALSE), FALSE)</f>
        <v>0</v>
      </c>
      <c r="G12" s="4" t="str">
        <f t="shared" si="2"/>
        <v/>
      </c>
      <c r="H12" s="4" t="b">
        <f t="shared" si="3"/>
        <v>1</v>
      </c>
      <c r="I12" s="4" t="b">
        <f t="array" ref="I12">XLOOKUP($A12,Defaults!$A:$A,Defaults!$G:$G,0)</f>
        <v>1</v>
      </c>
    </row>
    <row r="13">
      <c r="A13" s="1" t="s">
        <v>21</v>
      </c>
      <c r="B13" s="2">
        <v>2000000.0</v>
      </c>
      <c r="C13" s="1" t="s">
        <v>10</v>
      </c>
      <c r="D13" s="3">
        <f t="shared" si="1"/>
        <v>2000000</v>
      </c>
      <c r="E13" s="1">
        <v>2.0</v>
      </c>
      <c r="F13" s="4" t="b">
        <f>IFERROR(VLOOKUP(A13, Defaults!$A$2:$F$13, 6, FALSE), FALSE)</f>
        <v>0</v>
      </c>
      <c r="G13" s="4" t="str">
        <f t="shared" si="2"/>
        <v/>
      </c>
      <c r="H13" s="4" t="b">
        <f t="shared" si="3"/>
        <v>1</v>
      </c>
      <c r="I13" s="4" t="b">
        <f t="array" ref="I13">XLOOKUP($A13,Defaults!$A:$A,Defaults!$G:$G,0)</f>
        <v>1</v>
      </c>
    </row>
    <row r="15">
      <c r="B15" s="1" t="s">
        <v>22</v>
      </c>
      <c r="C15" s="4">
        <f>SUMPRODUCT(($C$2:$C$13&lt;&gt;"Cut")*($C$2:$C$13&lt;&gt;"Trade")*($E$2:$E$13))
</f>
        <v>64</v>
      </c>
    </row>
    <row r="16">
      <c r="E16" s="1" t="s">
        <v>23</v>
      </c>
      <c r="F16" s="1">
        <f>MIN(
  SUMPRODUCT(($C$2:$C$13="Bird")*($F$2:$F$13=TRUE)*$B$2:$B$13),
  MAX(0, SUM($D$2:$D$13) - $B$18)
)
</f>
        <v>0</v>
      </c>
    </row>
    <row r="17">
      <c r="J17" s="1" t="s">
        <v>24</v>
      </c>
      <c r="K17" s="1" t="s">
        <v>25</v>
      </c>
    </row>
    <row r="18">
      <c r="A18" s="1" t="s">
        <v>26</v>
      </c>
      <c r="B18" s="1">
        <v>1.2E8</v>
      </c>
      <c r="E18" s="1" t="s">
        <v>27</v>
      </c>
      <c r="F18" s="4">
        <f>COUNTIF($C$2:$C$13,"MLE")
</f>
        <v>0</v>
      </c>
      <c r="I18" s="1" t="s">
        <v>28</v>
      </c>
      <c r="J18" s="4" t="b">
        <f>SUM($D$2:$D$13) &lt;= $B$18 + $D$18
</f>
        <v>0</v>
      </c>
      <c r="K18" s="4" t="str">
        <f>IF(J18,"","Over cap (payroll exceeds cap + soft-cap allowances)")</f>
        <v>Over cap (payroll exceeds cap + soft-cap allowances)</v>
      </c>
    </row>
    <row r="19">
      <c r="A19" s="1" t="s">
        <v>29</v>
      </c>
      <c r="B19" s="3">
        <f>SUM($D$2:$D$13)</f>
        <v>177000000</v>
      </c>
      <c r="E19" s="1" t="s">
        <v>30</v>
      </c>
      <c r="F19" s="4">
        <f>COUNTIFS($A$2:$A$13,"⭐*", $C$2:$C$13,"&lt;&gt;Cut/Trade")</f>
        <v>3</v>
      </c>
      <c r="I19" s="1" t="s">
        <v>31</v>
      </c>
      <c r="J19" s="4" t="b">
        <f>B20 &gt;= 10</f>
        <v>1</v>
      </c>
      <c r="K19" s="4" t="str">
        <f>IF(J19,"","Need at least 10 players")</f>
        <v/>
      </c>
    </row>
    <row r="20">
      <c r="A20" s="1" t="s">
        <v>32</v>
      </c>
      <c r="B20" s="4">
        <f>COUNTIFS($C$2:$C$13,"&lt;&gt;Cut",$C$2:$C$13,"&lt;&gt;Trade")
</f>
        <v>12</v>
      </c>
      <c r="E20" s="1" t="s">
        <v>33</v>
      </c>
      <c r="F20" s="4">
        <f>COUNTIF($C$2:$C$13,"VetMin")</f>
        <v>0</v>
      </c>
      <c r="I20" s="1" t="s">
        <v>34</v>
      </c>
      <c r="J20" s="4" t="b">
        <f>B21 &gt;= 2</f>
        <v>1</v>
      </c>
      <c r="K20" s="4" t="str">
        <f>IF(J20,"","Keep the required number of stars")</f>
        <v/>
      </c>
    </row>
    <row r="21">
      <c r="A21" s="1" t="s">
        <v>34</v>
      </c>
      <c r="B21" s="4">
        <f>COUNTIFS($A$2:$A$13,"⭐*", $C$2:$C$13,"&lt;&gt;Cut")
</f>
        <v>3</v>
      </c>
      <c r="I21" s="1" t="s">
        <v>35</v>
      </c>
      <c r="J21" s="4" t="b">
        <f>COUNTIF($G$2:$G$13,"MLE_INVALID")=0
</f>
        <v>1</v>
      </c>
      <c r="K21" s="4" t="str">
        <f>IF(J21,"","Use exactly one MLE")</f>
        <v/>
      </c>
    </row>
    <row r="22">
      <c r="A22" s="1" t="s">
        <v>36</v>
      </c>
      <c r="B22" s="4" t="str">
        <f>IF(AND(J18,J19,J20,J21,J22,J23),"YES","NO")</f>
        <v>NO</v>
      </c>
      <c r="I22" s="1" t="s">
        <v>37</v>
      </c>
      <c r="J22" s="4" t="b">
        <f>COUNTIF(C2:C13,"VetMin")&lt;=4</f>
        <v>1</v>
      </c>
      <c r="K22" s="4" t="str">
        <f>IF(J22,"","Too many VetMin deals (max 4)")</f>
        <v/>
      </c>
    </row>
    <row r="23">
      <c r="A23" s="1" t="s">
        <v>38</v>
      </c>
      <c r="I23" s="1" t="s">
        <v>39</v>
      </c>
      <c r="J23" s="4" t="b">
        <f>C15 &gt;=50</f>
        <v>1</v>
      </c>
      <c r="K23" s="4" t="str">
        <f>IF(J23,"","Quality points too low")</f>
        <v/>
      </c>
    </row>
    <row r="24">
      <c r="A24" s="1" t="s">
        <v>40</v>
      </c>
      <c r="B24" s="4" t="str">
        <f>IF($B$22="YES",
  "CC-201L1-" &amp;
  TEXT(
    CHOOSE(
      1 + MOD(
        201*37 + 1*7
        + SUMPRODUCT(($C$2:$C$13&lt;&gt;"Keep")*($B$2:$B$13&lt;&gt;""))
        + 3*COUNTIF($C$2:$C$13,"Bird")
        + 5*COUNTIF($C$2:$C$13,"VetMin"),
      3),
      11,22,33
    ),
  "00"),
"")
</f>
        <v/>
      </c>
      <c r="I24" s="1" t="s">
        <v>41</v>
      </c>
    </row>
    <row r="27">
      <c r="D27" s="5" t="s">
        <v>42</v>
      </c>
    </row>
  </sheetData>
  <conditionalFormatting sqref="B22">
    <cfRule type="containsText" dxfId="0" priority="1" operator="containsText" text="YES">
      <formula>NOT(ISERROR(SEARCH(("YES"),(B22))))</formula>
    </cfRule>
  </conditionalFormatting>
  <conditionalFormatting sqref="B22">
    <cfRule type="containsText" dxfId="1" priority="2" operator="containsText" text="NO">
      <formula>NOT(ISERROR(SEARCH(("NO"),(B22))))</formula>
    </cfRule>
  </conditionalFormatting>
  <dataValidations>
    <dataValidation type="list" allowBlank="1" sqref="C2:C13">
      <formula1>"Keep,Bird,MLE,VetMin,Trade,Cut"</formula1>
    </dataValidation>
  </dataValidations>
  <hyperlinks>
    <hyperlink r:id="rId1" ref="D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5</v>
      </c>
      <c r="G1" s="1" t="s">
        <v>8</v>
      </c>
    </row>
    <row r="2">
      <c r="A2" s="1" t="s">
        <v>9</v>
      </c>
      <c r="B2" s="2">
        <v>4.5E7</v>
      </c>
      <c r="C2" s="1" t="s">
        <v>47</v>
      </c>
      <c r="D2" s="4">
        <f t="array" ref="D2">SUM(CODE(MID($C$2 &amp; A2, SEQUENCE(LEN($C$2 &amp; A2),1), 1)))
</f>
        <v>12593</v>
      </c>
      <c r="F2" s="4" t="b">
        <f t="shared" ref="F2:F13" si="1">RANK(D2, $D$2:$D$13, 1) &lt;= 3</f>
        <v>0</v>
      </c>
      <c r="G2" s="4" t="b">
        <f t="shared" ref="G2:G13" si="2">B2&lt;=14000000</f>
        <v>0</v>
      </c>
    </row>
    <row r="3">
      <c r="A3" s="1" t="s">
        <v>11</v>
      </c>
      <c r="B3" s="2">
        <v>3.8E7</v>
      </c>
      <c r="D3" s="4">
        <f t="array" ref="D3">SUM(CODE(MID($C$2 &amp; A3, SEQUENCE(LEN($C$2 &amp; A3),1), 1)))
</f>
        <v>12656</v>
      </c>
      <c r="F3" s="4" t="b">
        <f t="shared" si="1"/>
        <v>0</v>
      </c>
      <c r="G3" s="4" t="b">
        <f t="shared" si="2"/>
        <v>0</v>
      </c>
    </row>
    <row r="4">
      <c r="A4" s="1" t="s">
        <v>12</v>
      </c>
      <c r="B4" s="2">
        <v>3.0E7</v>
      </c>
      <c r="D4" s="4">
        <f t="array" ref="D4">SUM(CODE(MID($C$2 &amp; A4, SEQUENCE(LEN($C$2 &amp; A4),1), 1)))
</f>
        <v>12464</v>
      </c>
      <c r="F4" s="4" t="b">
        <f t="shared" si="1"/>
        <v>0</v>
      </c>
      <c r="G4" s="4" t="b">
        <f t="shared" si="2"/>
        <v>0</v>
      </c>
    </row>
    <row r="5">
      <c r="A5" s="1" t="s">
        <v>13</v>
      </c>
      <c r="B5" s="2">
        <v>1.8E7</v>
      </c>
      <c r="D5" s="4">
        <f t="array" ref="D5">SUM(CODE(MID($C$2 &amp; A5, SEQUENCE(LEN($C$2 &amp; A5),1), 1)))
</f>
        <v>1780</v>
      </c>
      <c r="F5" s="4" t="b">
        <f t="shared" si="1"/>
        <v>0</v>
      </c>
      <c r="G5" s="4" t="b">
        <f t="shared" si="2"/>
        <v>0</v>
      </c>
    </row>
    <row r="6">
      <c r="A6" s="1" t="s">
        <v>14</v>
      </c>
      <c r="B6" s="2">
        <v>1.4E7</v>
      </c>
      <c r="D6" s="4">
        <f t="array" ref="D6">SUM(CODE(MID($C$2 &amp; A6, SEQUENCE(LEN($C$2 &amp; A6),1), 1)))
</f>
        <v>1813</v>
      </c>
      <c r="F6" s="4" t="b">
        <f t="shared" si="1"/>
        <v>0</v>
      </c>
      <c r="G6" s="4" t="b">
        <f t="shared" si="2"/>
        <v>1</v>
      </c>
    </row>
    <row r="7">
      <c r="A7" s="1" t="s">
        <v>15</v>
      </c>
      <c r="B7" s="2">
        <v>1.0E7</v>
      </c>
      <c r="D7" s="4">
        <f t="array" ref="D7">SUM(CODE(MID($C$2 &amp; A7, SEQUENCE(LEN($C$2 &amp; A7),1), 1)))
</f>
        <v>1475</v>
      </c>
      <c r="F7" s="4" t="b">
        <f t="shared" si="1"/>
        <v>1</v>
      </c>
      <c r="G7" s="4" t="b">
        <f t="shared" si="2"/>
        <v>1</v>
      </c>
    </row>
    <row r="8">
      <c r="A8" s="1" t="s">
        <v>16</v>
      </c>
      <c r="B8" s="2">
        <v>7000000.0</v>
      </c>
      <c r="D8" s="4">
        <f t="array" ref="D8">SUM(CODE(MID($C$2 &amp; A8, SEQUENCE(LEN($C$2 &amp; A8),1), 1)))
</f>
        <v>1508</v>
      </c>
      <c r="F8" s="4" t="b">
        <f t="shared" si="1"/>
        <v>0</v>
      </c>
      <c r="G8" s="4" t="b">
        <f t="shared" si="2"/>
        <v>1</v>
      </c>
    </row>
    <row r="9">
      <c r="A9" s="1" t="s">
        <v>17</v>
      </c>
      <c r="B9" s="2">
        <v>5000000.0</v>
      </c>
      <c r="D9" s="4">
        <f t="array" ref="D9">SUM(CODE(MID($C$2 &amp; A9, SEQUENCE(LEN($C$2 &amp; A9),1), 1)))
</f>
        <v>1477</v>
      </c>
      <c r="F9" s="4" t="b">
        <f t="shared" si="1"/>
        <v>1</v>
      </c>
      <c r="G9" s="4" t="b">
        <f t="shared" si="2"/>
        <v>1</v>
      </c>
    </row>
    <row r="10">
      <c r="A10" s="1" t="s">
        <v>18</v>
      </c>
      <c r="B10" s="2">
        <v>4000000.0</v>
      </c>
      <c r="D10" s="4">
        <f t="array" ref="D10">SUM(CODE(MID($C$2 &amp; A10, SEQUENCE(LEN($C$2 &amp; A10),1), 1)))
</f>
        <v>1478</v>
      </c>
      <c r="F10" s="4" t="b">
        <f t="shared" si="1"/>
        <v>0</v>
      </c>
      <c r="G10" s="4" t="b">
        <f t="shared" si="2"/>
        <v>1</v>
      </c>
    </row>
    <row r="11">
      <c r="A11" s="1" t="s">
        <v>19</v>
      </c>
      <c r="B11" s="2">
        <v>2000000.0</v>
      </c>
      <c r="D11" s="4">
        <f t="array" ref="D11">SUM(CODE(MID($C$2 &amp; A11, SEQUENCE(LEN($C$2 &amp; A11),1), 1)))
</f>
        <v>1369</v>
      </c>
      <c r="F11" s="4" t="b">
        <f t="shared" si="1"/>
        <v>1</v>
      </c>
      <c r="G11" s="4" t="b">
        <f t="shared" si="2"/>
        <v>1</v>
      </c>
    </row>
    <row r="12">
      <c r="A12" s="1" t="s">
        <v>20</v>
      </c>
      <c r="B12" s="2">
        <v>2000000.0</v>
      </c>
      <c r="F12" s="4" t="str">
        <f t="shared" si="1"/>
        <v>#N/A</v>
      </c>
      <c r="G12" s="4" t="b">
        <f t="shared" si="2"/>
        <v>1</v>
      </c>
    </row>
    <row r="13">
      <c r="A13" s="1" t="s">
        <v>21</v>
      </c>
      <c r="B13" s="2">
        <v>2000000.0</v>
      </c>
      <c r="F13" s="4" t="str">
        <f t="shared" si="1"/>
        <v>#N/A</v>
      </c>
      <c r="G13" s="4" t="b">
        <f t="shared" si="2"/>
        <v>1</v>
      </c>
    </row>
  </sheetData>
  <drawing r:id="rId1"/>
</worksheet>
</file>